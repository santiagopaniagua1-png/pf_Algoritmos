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FF3C44F-4B9B-447F-90B3-A9255F868338}" xr6:coauthVersionLast="47" xr6:coauthVersionMax="47" xr10:uidLastSave="{00000000-0000-0000-0000-000000000000}"/>
  <bookViews>
    <workbookView xWindow="-120" yWindow="-120" windowWidth="29040" windowHeight="15720" xr2:uid="{DA0DD492-90BA-4B7B-B9A7-AB8E1D1F256E}"/>
  </bookViews>
  <sheets>
    <sheet name="Diagra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1" l="1"/>
  <c r="C46" i="1"/>
  <c r="D26" i="1"/>
  <c r="L34" i="1"/>
  <c r="L33" i="1"/>
  <c r="L32" i="1"/>
</calcChain>
</file>

<file path=xl/sharedStrings.xml><?xml version="1.0" encoding="utf-8"?>
<sst xmlns="http://schemas.openxmlformats.org/spreadsheetml/2006/main" count="82" uniqueCount="82">
  <si>
    <t>Actividad</t>
  </si>
  <si>
    <t>Inicio</t>
  </si>
  <si>
    <t>Final</t>
  </si>
  <si>
    <t>Semana 1</t>
  </si>
  <si>
    <t>Semana 2</t>
  </si>
  <si>
    <t>Semana 6</t>
  </si>
  <si>
    <t>Semana 3</t>
  </si>
  <si>
    <t>Semana 4</t>
  </si>
  <si>
    <t>Semana 5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</si>
  <si>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</si>
  <si>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</si>
  <si>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</si>
  <si>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</si>
  <si>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</si>
  <si>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</si>
  <si>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</si>
  <si>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</si>
  <si>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</si>
  <si>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</si>
  <si>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Descripcion integrantes del equipo</t>
  </si>
  <si>
    <t>Integrantes y roles</t>
  </si>
  <si>
    <t>Elaboracion del reporte de vision</t>
  </si>
  <si>
    <t xml:space="preserve">Especificacion de requisitos </t>
  </si>
  <si>
    <t>Elaboración del plan de proyecto (grantt+Presup)</t>
  </si>
  <si>
    <t>Organización del desarrollo</t>
  </si>
  <si>
    <t>Plan de versionado del software</t>
  </si>
  <si>
    <t>Diseñado de clases (usuario y prestamo)</t>
  </si>
  <si>
    <t>elaboracion del manual de usuario</t>
  </si>
  <si>
    <t>Pruebas finales y entrega</t>
  </si>
  <si>
    <t>Horas</t>
  </si>
  <si>
    <t>Definicion del nombre del proyecto</t>
  </si>
  <si>
    <t>Seleccionar tipo de licencia del software</t>
  </si>
  <si>
    <t>Total horas (50)</t>
  </si>
  <si>
    <t>Fecha inicio</t>
  </si>
  <si>
    <t>Fecha final</t>
  </si>
  <si>
    <t>Valor proyecto</t>
  </si>
  <si>
    <t>SMLV</t>
  </si>
  <si>
    <t>Valor hora SMLV</t>
  </si>
  <si>
    <t>BorrowMind - Gestor de Préstamos</t>
  </si>
  <si>
    <t>Presupuesto del proyecto</t>
  </si>
  <si>
    <t>Descripcion detallada</t>
  </si>
  <si>
    <t>Se definierion los roles y Santiago queda como lider</t>
  </si>
  <si>
    <t>Se realiza el registros academicos y habilidades de cada integrante en Markdown</t>
  </si>
  <si>
    <t>Se asigna el nombre MarkDown y se realiza el diseño de imagen representatiiva</t>
  </si>
  <si>
    <t>Se selecciona y justifica la selección de licencia del Software</t>
  </si>
  <si>
    <t>Se redactan los objetivos generales, especificos y beneficios del sistema.</t>
  </si>
  <si>
    <t>Se definen los requisitos funcionales y No funcionales</t>
  </si>
  <si>
    <t>Se elabora el diagrama de Gantt y se realiza el analisis de presupuesto</t>
  </si>
  <si>
    <t>Se realiza la consolidacion de los puntos 1 al 7 en el repositorio de GitHub</t>
  </si>
  <si>
    <t xml:space="preserve">Se realiza la estructura de la carpeta y la configuracion del plan del versionado </t>
  </si>
  <si>
    <t>Diseño de datos y clases</t>
  </si>
  <si>
    <t>Se realiza la codificacion logica en archivos para usuarios e Items</t>
  </si>
  <si>
    <t>Creacion de modulos de registro y validacion de texto/datos/correo</t>
  </si>
  <si>
    <t>Desarrollo del modelo de usuario e inventario</t>
  </si>
  <si>
    <t>Se realiza la códificacion de Items y ID de usuarios</t>
  </si>
  <si>
    <t>Desarrollo del modelo de prestamos y devoluviones</t>
  </si>
  <si>
    <t>Crear código para calculo de alertas &gt;20 días</t>
  </si>
  <si>
    <t>Desarrollo de facturacion y reportes</t>
  </si>
  <si>
    <t>Crear el calculo de 23% de impuesto y submenu de administrador</t>
  </si>
  <si>
    <t>Elaboracion del manual de usuario</t>
  </si>
  <si>
    <t>Compilacion del codigo final y confirmacion del manual de usuario</t>
  </si>
  <si>
    <t>Pruebas finales de ejecucion del programa y sustencion en el entorno ejecutable</t>
  </si>
  <si>
    <t>Inversion de tiempo estipulado por el proyecto</t>
  </si>
  <si>
    <t>Fase de requisitos e inicio</t>
  </si>
  <si>
    <t>Etapa del plan de desarrollo</t>
  </si>
  <si>
    <t>Horas asigandas</t>
  </si>
  <si>
    <t>Costo parcial</t>
  </si>
  <si>
    <t>Especificacion de requisitos funcionales y NO funcionales</t>
  </si>
  <si>
    <t>Definicion de las actas, alcance y vision</t>
  </si>
  <si>
    <t>Definicion del nombre que lleva el proyecto</t>
  </si>
  <si>
    <t>Fase de diseño y configuracion</t>
  </si>
  <si>
    <t>Ajuste del plan de elaboracion del proyecto</t>
  </si>
  <si>
    <t>Creacion de las carpetas para los datos (Datos de almacenamiento y repositorios)</t>
  </si>
  <si>
    <t>Fase de desarrollo</t>
  </si>
  <si>
    <t>Codificacion en python</t>
  </si>
  <si>
    <t>Validaciones de datos (nombres, dacumento, correos)</t>
  </si>
  <si>
    <t>Modulos de prestamos,administracion y archivado</t>
  </si>
  <si>
    <t>Fase de caldiad y cierre</t>
  </si>
  <si>
    <t>Generacion de reporte, recibos de caja y certificados de devolucion</t>
  </si>
  <si>
    <t>Pruebas finles y sustentacion de la entrega final del trabajo</t>
  </si>
  <si>
    <t>Estructuracion de reporsitorio de GitHub</t>
  </si>
  <si>
    <t>VALOR TOTAL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</si>
</sst>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14" fontId="0" fillId="4" borderId="1" xfId="0" applyNumberFormat="1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164" fontId="0" fillId="2" borderId="1" xfId="0" applyNumberFormat="1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CCEC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Diagrama de gantt </a:t>
            </a:r>
          </a:p>
        </c:rich>
      </c:tx>
      <c:layout>
        <c:manualLayout>
          <c:xMode val="edge"/>
          <c:yMode val="edge"/>
          <c:x val="0.42820569737328901"/>
          <c:y val="1.7640567192850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8820563911198116"/>
          <c:y val="0.18375579149167978"/>
          <c:w val="0.6955161514910525"/>
          <c:h val="0.78664448700419687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Diagrama!$B$4:$B$19</c:f>
              <c:strCache>
                <c:ptCount val="16"/>
                <c:pt idx="0">
                  <c:v>Integrantes y roles</c:v>
                </c:pt>
                <c:pt idx="1">
                  <c:v>Descripcion integrantes del equipo</c:v>
                </c:pt>
                <c:pt idx="2">
                  <c:v>Definicion del nombre del proyecto</c:v>
                </c:pt>
                <c:pt idx="3">
                  <c:v>Seleccionar tipo de licencia del software</c:v>
                </c:pt>
                <c:pt idx="4">
                  <c:v>Elaboracion del reporte de vision</c:v>
                </c:pt>
                <c:pt idx="5">
                  <c:v>Especificacion de requisitos </c:v>
                </c:pt>
                <c:pt idx="6">
                  <c:v>Elaboración del plan de proyecto (grantt+Presup)</c:v>
                </c:pt>
                <c:pt idx="7">
                  <c:v>Organización del desarrollo</c:v>
                </c:pt>
                <c:pt idx="8">
                  <c:v>Plan de versionado del software</c:v>
                </c:pt>
                <c:pt idx="9">
                  <c:v>Diseño de datos y clases</c:v>
                </c:pt>
                <c:pt idx="10">
                  <c:v>Diseñado de clases (usuario y prestamo)</c:v>
                </c:pt>
                <c:pt idx="11">
                  <c:v>Desarrollo del modelo de usuario e inventario</c:v>
                </c:pt>
                <c:pt idx="12">
                  <c:v>Desarrollo del modelo de prestamos y devoluviones</c:v>
                </c:pt>
                <c:pt idx="13">
                  <c:v>Desarrollo de facturacion y reportes</c:v>
                </c:pt>
                <c:pt idx="14">
                  <c:v>Elaboracion del manual de usuario</c:v>
                </c:pt>
                <c:pt idx="15">
                  <c:v>Pruebas finales y entrega</c:v>
                </c:pt>
              </c:strCache>
            </c:strRef>
          </c:cat>
          <c:val>
            <c:numRef>
              <c:f>Diagrama!$D$4:$D$19</c:f>
              <c:numCache>
                <c:formatCode>m/d/yyyy</c:formatCode>
                <c:ptCount val="16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46118</c:v>
                </c:pt>
                <c:pt idx="8">
                  <c:v>46125</c:v>
                </c:pt>
                <c:pt idx="9">
                  <c:v>46132</c:v>
                </c:pt>
                <c:pt idx="10">
                  <c:v>46139</c:v>
                </c:pt>
                <c:pt idx="11">
                  <c:v>46146</c:v>
                </c:pt>
                <c:pt idx="12">
                  <c:v>46153</c:v>
                </c:pt>
                <c:pt idx="13">
                  <c:v>46160</c:v>
                </c:pt>
                <c:pt idx="14">
                  <c:v>46167</c:v>
                </c:pt>
                <c:pt idx="15">
                  <c:v>46174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D-4181-8E9E-DB55EC766328}"/>
            </c:ext>
          </c:extLst>
        </c:ser>
        <c:ser>
          <c:idx val="1"/>
          <c:order val="1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Diagrama!$B$4:$B$19</c:f>
              <c:strCache>
                <c:ptCount val="16"/>
                <c:pt idx="0">
                  <c:v>Integrantes y roles</c:v>
                </c:pt>
                <c:pt idx="1">
                  <c:v>Descripcion integrantes del equipo</c:v>
                </c:pt>
                <c:pt idx="2">
                  <c:v>Definicion del nombre del proyecto</c:v>
                </c:pt>
                <c:pt idx="3">
                  <c:v>Seleccionar tipo de licencia del software</c:v>
                </c:pt>
                <c:pt idx="4">
                  <c:v>Elaboracion del reporte de vision</c:v>
                </c:pt>
                <c:pt idx="5">
                  <c:v>Especificacion de requisitos </c:v>
                </c:pt>
                <c:pt idx="6">
                  <c:v>Elaboración del plan de proyecto (grantt+Presup)</c:v>
                </c:pt>
                <c:pt idx="7">
                  <c:v>Organización del desarrollo</c:v>
                </c:pt>
                <c:pt idx="8">
                  <c:v>Plan de versionado del software</c:v>
                </c:pt>
                <c:pt idx="9">
                  <c:v>Diseño de datos y clases</c:v>
                </c:pt>
                <c:pt idx="10">
                  <c:v>Diseñado de clases (usuario y prestamo)</c:v>
                </c:pt>
                <c:pt idx="11">
                  <c:v>Desarrollo del modelo de usuario e inventario</c:v>
                </c:pt>
                <c:pt idx="12">
                  <c:v>Desarrollo del modelo de prestamos y devoluviones</c:v>
                </c:pt>
                <c:pt idx="13">
                  <c:v>Desarrollo de facturacion y reportes</c:v>
                </c:pt>
                <c:pt idx="14">
                  <c:v>Elaboracion del manual de usuario</c:v>
                </c:pt>
                <c:pt idx="15">
                  <c:v>Pruebas finales y entrega</c:v>
                </c:pt>
              </c:strCache>
            </c:strRef>
          </c:cat>
          <c:val>
            <c:numRef>
              <c:f>Diagrama!$E$4:$E$19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FD-4181-8E9E-DB55EC766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77475807"/>
        <c:axId val="777478207"/>
      </c:barChart>
      <c:catAx>
        <c:axId val="777475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478207"/>
        <c:crosses val="autoZero"/>
        <c:auto val="1"/>
        <c:lblAlgn val="ctr"/>
        <c:lblOffset val="100"/>
        <c:noMultiLvlLbl val="0"/>
      </c:catAx>
      <c:valAx>
        <c:axId val="777478207"/>
        <c:scaling>
          <c:orientation val="minMax"/>
          <c:max val="46179"/>
          <c:min val="46062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/m/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475807"/>
        <c:crosses val="autoZero"/>
        <c:crossBetween val="between"/>
        <c:majorUnit val="7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333376</xdr:colOff>
      <xdr:row>3</xdr:row>
      <xdr:rowOff>14286</xdr:rowOff>
    </xdr:from>
    <xdr:to>
      <xdr:col>18</xdr:col>
      <xdr:colOff>504825</xdr:colOff>
      <xdr:row>30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A8C768-649D-2134-6F59-73DB50A7B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1B2C-1756-4A3B-859A-CA6183961708}">
  <dimension ref="A2:P46"/>
  <sheetViews>
    <sheetView tabSelected="1" workbookViewId="0">
      <selection activeCell="F20" sqref="F20"/>
    </sheetView>
  </sheetViews>
  <sheetFormatPr baseColWidth="10" defaultRowHeight="15" x14ac:dyDescent="0.25"/>
  <cols>
    <col min="1" max="1" width="10.5703125" customWidth="1"/>
    <col min="2" max="2" width="44.140625" customWidth="1"/>
    <col min="3" max="3" width="47.7109375" bestFit="1" customWidth="1"/>
    <col min="4" max="4" width="14.5703125" bestFit="1" customWidth="1"/>
    <col min="5" max="5" width="6.28515625" customWidth="1"/>
    <col min="11" max="11" width="30.140625" customWidth="1"/>
  </cols>
  <sheetData>
    <row r="2" spans="1:16" ht="18.75" x14ac:dyDescent="0.3">
      <c r="J2" s="16" t="s">
        <v>38</v>
      </c>
      <c r="K2" s="16"/>
      <c r="L2" s="16"/>
      <c r="M2" s="16"/>
      <c r="N2" s="16"/>
      <c r="O2" s="16"/>
      <c r="P2" s="16"/>
    </row>
    <row r="3" spans="1:16" x14ac:dyDescent="0.25">
      <c r="B3" s="2" t="s">
        <v>0</v>
      </c>
      <c r="C3" s="2" t="s">
        <v>40</v>
      </c>
      <c r="D3" s="2" t="s">
        <v>1</v>
      </c>
      <c r="E3" s="2" t="s">
        <v>29</v>
      </c>
      <c r="F3" s="2" t="s">
        <v>2</v>
      </c>
    </row>
    <row r="4" spans="1:16" ht="15.75" customHeight="1" x14ac:dyDescent="0.25">
      <c r="A4" s="1" t="s">
        <v>3</v>
      </c>
      <c r="B4" s="3" t="s">
        <v>20</v>
      </c>
      <c r="C4" s="7" t="s">
        <v>41</v>
      </c>
      <c r="D4" s="4">
        <v>46062</v>
      </c>
      <c r="E4" s="3">
        <v>1</v>
      </c>
      <c r="F4" s="4">
        <v>46066</v>
      </c>
    </row>
    <row r="5" spans="1:16" ht="32.25" customHeight="1" x14ac:dyDescent="0.25">
      <c r="A5" s="1" t="s">
        <v>4</v>
      </c>
      <c r="B5" s="3" t="s">
        <v>19</v>
      </c>
      <c r="C5" s="8" t="s">
        <v>42</v>
      </c>
      <c r="D5" s="4">
        <v>46069</v>
      </c>
      <c r="E5" s="3">
        <v>1</v>
      </c>
      <c r="F5" s="4">
        <v>46074</v>
      </c>
    </row>
    <row r="6" spans="1:16" ht="30" x14ac:dyDescent="0.25">
      <c r="A6" s="1" t="s">
        <v>6</v>
      </c>
      <c r="B6" s="3" t="s">
        <v>30</v>
      </c>
      <c r="C6" s="8" t="s">
        <v>43</v>
      </c>
      <c r="D6" s="4">
        <v>46076</v>
      </c>
      <c r="E6" s="3">
        <v>2</v>
      </c>
      <c r="F6" s="4">
        <v>46080</v>
      </c>
    </row>
    <row r="7" spans="1:16" ht="30" x14ac:dyDescent="0.25">
      <c r="A7" s="1" t="s">
        <v>7</v>
      </c>
      <c r="B7" s="3" t="s">
        <v>31</v>
      </c>
      <c r="C7" s="8" t="s">
        <v>44</v>
      </c>
      <c r="D7" s="4">
        <v>46083</v>
      </c>
      <c r="E7" s="3">
        <v>1</v>
      </c>
      <c r="F7" s="4">
        <v>46087</v>
      </c>
    </row>
    <row r="8" spans="1:16" ht="30" x14ac:dyDescent="0.25">
      <c r="A8" s="1" t="s">
        <v>8</v>
      </c>
      <c r="B8" s="3" t="s">
        <v>21</v>
      </c>
      <c r="C8" s="8" t="s">
        <v>45</v>
      </c>
      <c r="D8" s="4">
        <v>46090</v>
      </c>
      <c r="E8" s="3">
        <v>4</v>
      </c>
      <c r="F8" s="4">
        <v>46094</v>
      </c>
    </row>
    <row r="9" spans="1:16" ht="30" x14ac:dyDescent="0.25">
      <c r="A9" s="1" t="s">
        <v>5</v>
      </c>
      <c r="B9" s="3" t="s">
        <v>22</v>
      </c>
      <c r="C9" s="8" t="s">
        <v>46</v>
      </c>
      <c r="D9" s="4">
        <v>46097</v>
      </c>
      <c r="E9" s="3">
        <v>3</v>
      </c>
      <c r="F9" s="4">
        <v>46101</v>
      </c>
    </row>
    <row r="10" spans="1:16" ht="30" x14ac:dyDescent="0.25">
      <c r="A10" s="1" t="s">
        <v>9</v>
      </c>
      <c r="B10" s="3" t="s">
        <v>23</v>
      </c>
      <c r="C10" s="8" t="s">
        <v>47</v>
      </c>
      <c r="D10" s="4">
        <v>46104</v>
      </c>
      <c r="E10" s="3">
        <v>2</v>
      </c>
      <c r="F10" s="4">
        <v>46108</v>
      </c>
    </row>
    <row r="11" spans="1:16" ht="30" x14ac:dyDescent="0.25">
      <c r="A11" s="1" t="s">
        <v>10</v>
      </c>
      <c r="B11" s="3" t="s">
        <v>24</v>
      </c>
      <c r="C11" s="8" t="s">
        <v>48</v>
      </c>
      <c r="D11" s="4">
        <v>46118</v>
      </c>
      <c r="E11" s="3">
        <v>5</v>
      </c>
      <c r="F11" s="4">
        <v>46122</v>
      </c>
    </row>
    <row r="12" spans="1:16" ht="30" x14ac:dyDescent="0.25">
      <c r="A12" s="1" t="s">
        <v>11</v>
      </c>
      <c r="B12" s="3" t="s">
        <v>25</v>
      </c>
      <c r="C12" s="8" t="s">
        <v>49</v>
      </c>
      <c r="D12" s="4">
        <v>46125</v>
      </c>
      <c r="E12" s="3">
        <v>3</v>
      </c>
      <c r="F12" s="4">
        <v>46129</v>
      </c>
    </row>
    <row r="13" spans="1:16" ht="30" x14ac:dyDescent="0.25">
      <c r="A13" s="1" t="s">
        <v>12</v>
      </c>
      <c r="B13" s="3" t="s">
        <v>50</v>
      </c>
      <c r="C13" s="9" t="s">
        <v>51</v>
      </c>
      <c r="D13" s="4">
        <v>46132</v>
      </c>
      <c r="E13" s="3">
        <v>5</v>
      </c>
      <c r="F13" s="4">
        <v>46136</v>
      </c>
    </row>
    <row r="14" spans="1:16" ht="30" x14ac:dyDescent="0.25">
      <c r="A14" s="1" t="s">
        <v>13</v>
      </c>
      <c r="B14" s="3" t="s">
        <v>26</v>
      </c>
      <c r="C14" s="9" t="s">
        <v>52</v>
      </c>
      <c r="D14" s="4">
        <v>46139</v>
      </c>
      <c r="E14" s="3">
        <v>4</v>
      </c>
      <c r="F14" s="4">
        <v>46143</v>
      </c>
    </row>
    <row r="15" spans="1:16" x14ac:dyDescent="0.25">
      <c r="A15" s="1" t="s">
        <v>14</v>
      </c>
      <c r="B15" s="3" t="s">
        <v>53</v>
      </c>
      <c r="C15" s="9" t="s">
        <v>54</v>
      </c>
      <c r="D15" s="4">
        <v>46146</v>
      </c>
      <c r="E15" s="3">
        <v>5</v>
      </c>
      <c r="F15" s="4">
        <v>46150</v>
      </c>
    </row>
    <row r="16" spans="1:16" x14ac:dyDescent="0.25">
      <c r="A16" s="1" t="s">
        <v>15</v>
      </c>
      <c r="B16" s="3" t="s">
        <v>55</v>
      </c>
      <c r="C16" s="9" t="s">
        <v>56</v>
      </c>
      <c r="D16" s="4">
        <v>46153</v>
      </c>
      <c r="E16" s="3">
        <v>4</v>
      </c>
      <c r="F16" s="4">
        <v>46157</v>
      </c>
    </row>
    <row r="17" spans="1:12" ht="30" x14ac:dyDescent="0.25">
      <c r="A17" s="1" t="s">
        <v>16</v>
      </c>
      <c r="B17" s="3" t="s">
        <v>57</v>
      </c>
      <c r="C17" s="9" t="s">
        <v>58</v>
      </c>
      <c r="D17" s="4">
        <v>46160</v>
      </c>
      <c r="E17" s="3">
        <v>4</v>
      </c>
      <c r="F17" s="4">
        <v>46164</v>
      </c>
    </row>
    <row r="18" spans="1:12" ht="30" x14ac:dyDescent="0.25">
      <c r="A18" s="1" t="s">
        <v>17</v>
      </c>
      <c r="B18" s="3" t="s">
        <v>59</v>
      </c>
      <c r="C18" s="9" t="s">
        <v>60</v>
      </c>
      <c r="D18" s="4">
        <v>46167</v>
      </c>
      <c r="E18" s="3">
        <v>4</v>
      </c>
      <c r="F18" s="4">
        <v>46171</v>
      </c>
    </row>
    <row r="19" spans="1:12" ht="30" x14ac:dyDescent="0.25">
      <c r="A19" s="1" t="s">
        <v>18</v>
      </c>
      <c r="B19" s="3" t="s">
        <v>28</v>
      </c>
      <c r="C19" s="9" t="s">
        <v>61</v>
      </c>
      <c r="D19" s="4">
        <v>46174</v>
      </c>
      <c r="E19" s="3">
        <v>2</v>
      </c>
      <c r="F19" s="4">
        <v>46178</v>
      </c>
    </row>
    <row r="22" spans="1:12" x14ac:dyDescent="0.25">
      <c r="B22" s="15" t="s">
        <v>39</v>
      </c>
      <c r="C22" s="15"/>
      <c r="D22" s="15"/>
    </row>
    <row r="23" spans="1:12" x14ac:dyDescent="0.25">
      <c r="B23" s="3" t="s">
        <v>36</v>
      </c>
      <c r="C23" s="3"/>
      <c r="D23" s="6">
        <v>1750905</v>
      </c>
    </row>
    <row r="24" spans="1:12" x14ac:dyDescent="0.25">
      <c r="B24" s="3" t="s">
        <v>62</v>
      </c>
      <c r="C24" s="3"/>
      <c r="D24" s="5">
        <v>50</v>
      </c>
    </row>
    <row r="25" spans="1:12" x14ac:dyDescent="0.25">
      <c r="B25" s="3" t="s">
        <v>37</v>
      </c>
      <c r="C25" s="3"/>
      <c r="D25" s="6">
        <v>7295</v>
      </c>
    </row>
    <row r="26" spans="1:12" x14ac:dyDescent="0.25">
      <c r="B26" s="1" t="s">
        <v>35</v>
      </c>
      <c r="C26" s="1"/>
      <c r="D26" s="6">
        <f>D24*D25</f>
        <v>364750</v>
      </c>
    </row>
    <row r="29" spans="1:12" x14ac:dyDescent="0.25">
      <c r="B29" s="1" t="s">
        <v>64</v>
      </c>
      <c r="C29" s="1" t="s">
        <v>65</v>
      </c>
      <c r="D29" s="1" t="s">
        <v>66</v>
      </c>
    </row>
    <row r="30" spans="1:12" x14ac:dyDescent="0.25">
      <c r="B30" s="2" t="s">
        <v>63</v>
      </c>
      <c r="C30" s="13">
        <v>11</v>
      </c>
      <c r="D30" s="14">
        <v>80245</v>
      </c>
    </row>
    <row r="31" spans="1:12" x14ac:dyDescent="0.25">
      <c r="B31" s="3" t="s">
        <v>69</v>
      </c>
      <c r="C31" s="13"/>
      <c r="D31" s="14"/>
    </row>
    <row r="32" spans="1:12" x14ac:dyDescent="0.25">
      <c r="B32" s="3" t="s">
        <v>68</v>
      </c>
      <c r="C32" s="13"/>
      <c r="D32" s="14"/>
      <c r="K32" s="1" t="s">
        <v>32</v>
      </c>
      <c r="L32" s="5">
        <f>SUM(E4:E19)</f>
        <v>50</v>
      </c>
    </row>
    <row r="33" spans="2:12" ht="30" x14ac:dyDescent="0.25">
      <c r="B33" s="9" t="s">
        <v>67</v>
      </c>
      <c r="C33" s="13"/>
      <c r="D33" s="14"/>
      <c r="K33" s="1" t="s">
        <v>33</v>
      </c>
      <c r="L33" s="4">
        <f>MIN(D4:D19)</f>
        <v>46062</v>
      </c>
    </row>
    <row r="34" spans="2:12" x14ac:dyDescent="0.25">
      <c r="B34" s="2" t="s">
        <v>70</v>
      </c>
      <c r="C34" s="13">
        <v>15</v>
      </c>
      <c r="D34" s="14">
        <v>109425</v>
      </c>
      <c r="K34" s="1" t="s">
        <v>34</v>
      </c>
      <c r="L34" s="4">
        <f>MAX(F4:F19)</f>
        <v>46178</v>
      </c>
    </row>
    <row r="35" spans="2:12" x14ac:dyDescent="0.25">
      <c r="B35" s="3" t="s">
        <v>71</v>
      </c>
      <c r="C35" s="13"/>
      <c r="D35" s="14"/>
    </row>
    <row r="36" spans="2:12" x14ac:dyDescent="0.25">
      <c r="B36" s="3" t="s">
        <v>80</v>
      </c>
      <c r="C36" s="13"/>
      <c r="D36" s="14"/>
    </row>
    <row r="37" spans="2:12" ht="30" x14ac:dyDescent="0.25">
      <c r="B37" s="9" t="s">
        <v>72</v>
      </c>
      <c r="C37" s="13"/>
      <c r="D37" s="14"/>
    </row>
    <row r="38" spans="2:12" x14ac:dyDescent="0.25">
      <c r="B38" s="2" t="s">
        <v>73</v>
      </c>
      <c r="C38" s="13">
        <v>14</v>
      </c>
      <c r="D38" s="14">
        <v>102130</v>
      </c>
    </row>
    <row r="39" spans="2:12" x14ac:dyDescent="0.25">
      <c r="B39" s="3" t="s">
        <v>74</v>
      </c>
      <c r="C39" s="13"/>
      <c r="D39" s="14"/>
    </row>
    <row r="40" spans="2:12" ht="30" x14ac:dyDescent="0.25">
      <c r="B40" s="9" t="s">
        <v>75</v>
      </c>
      <c r="C40" s="13"/>
      <c r="D40" s="14"/>
    </row>
    <row r="41" spans="2:12" ht="30" x14ac:dyDescent="0.25">
      <c r="B41" s="9" t="s">
        <v>76</v>
      </c>
      <c r="C41" s="13"/>
      <c r="D41" s="14"/>
    </row>
    <row r="42" spans="2:12" x14ac:dyDescent="0.25">
      <c r="B42" s="10" t="s">
        <v>77</v>
      </c>
      <c r="C42" s="13">
        <v>10</v>
      </c>
      <c r="D42" s="14">
        <v>72950</v>
      </c>
    </row>
    <row r="43" spans="2:12" ht="30" x14ac:dyDescent="0.25">
      <c r="B43" s="9" t="s">
        <v>78</v>
      </c>
      <c r="C43" s="13"/>
      <c r="D43" s="14"/>
    </row>
    <row r="44" spans="2:12" x14ac:dyDescent="0.25">
      <c r="B44" s="9" t="s">
        <v>27</v>
      </c>
      <c r="C44" s="13"/>
      <c r="D44" s="14"/>
    </row>
    <row r="45" spans="2:12" ht="30" x14ac:dyDescent="0.25">
      <c r="B45" s="9" t="s">
        <v>79</v>
      </c>
      <c r="C45" s="13"/>
      <c r="D45" s="14"/>
    </row>
    <row r="46" spans="2:12" x14ac:dyDescent="0.25">
      <c r="B46" s="10" t="s">
        <v>81</v>
      </c>
      <c r="C46" s="12">
        <f>SUM(C30:C45)</f>
        <v>50</v>
      </c>
      <c r="D46" s="11">
        <f>SUM(D30:D45)</f>
        <v>364750</v>
      </c>
    </row>
  </sheetData>
  <mergeCells count="10">
    <mergeCell ref="J2:P2"/>
    <mergeCell ref="C30:C33"/>
    <mergeCell ref="D30:D33"/>
    <mergeCell ref="C34:C37"/>
    <mergeCell ref="D34:D37"/>
    <mergeCell ref="C38:C41"/>
    <mergeCell ref="D38:D41"/>
    <mergeCell ref="C42:C45"/>
    <mergeCell ref="D42:D45"/>
    <mergeCell ref="B22:D2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Munera Gallego</dc:creator>
  <cp:lastModifiedBy>Mateo Munera Gallego</cp:lastModifiedBy>
  <dcterms:created xsi:type="dcterms:W3CDTF">2026-03-27T14:20:11Z</dcterms:created>
  <dcterms:modified xsi:type="dcterms:W3CDTF">2026-06-05T22:15:51Z</dcterms:modified>
</cp:coreProperties>
</file>