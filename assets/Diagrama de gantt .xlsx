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a79d1901a1d906/Documents/Ude arrroba/Programacion/"/>
    </mc:Choice>
  </mc:AlternateContent>
  <xr:revisionPtr revIDLastSave="10" documentId="8_{D0E5DB48-282C-4AAD-A9D9-D46FFCD800D9}" xr6:coauthVersionLast="47" xr6:coauthVersionMax="47" xr10:uidLastSave="{0C0C25F3-47F4-4143-A3C1-04C9D3F4A912}"/>
  <bookViews>
    <workbookView xWindow="-120" yWindow="-120" windowWidth="29040" windowHeight="15720" xr2:uid="{DA0DD492-90BA-4B7B-B9A7-AB8E1D1F256E}"/>
  </bookViews>
  <sheets>
    <sheet name="Diagram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1" l="1"/>
  <c r="K34" i="1"/>
  <c r="K33" i="1"/>
  <c r="K32" i="1"/>
</calcChain>
</file>

<file path=xl/sharedStrings.xml><?xml version="1.0" encoding="utf-8"?>
<sst xmlns="http://schemas.openxmlformats.org/spreadsheetml/2006/main" count="45" uniqueCount="45">
  <si>
    <t>Actividad</t>
  </si>
  <si>
    <t>Inicio</t>
  </si>
  <si>
    <t>Final</t>
  </si>
  <si>
    <t>Semana 1</t>
  </si>
  <si>
    <t>Semana 2</t>
  </si>
  <si>
    <t>Semana 6</t>
  </si>
  <si>
    <t>Semana 3</t>
  </si>
  <si>
    <t>Semana 4</t>
  </si>
  <si>
    <t>Semana 5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</si>
  <si>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</si>
  <si>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</si>
  <si>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</si>
  <si>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</si>
  <si>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</si>
  <si>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</si>
  <si>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</si>
  <si>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</si>
  <si>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</si>
  <si>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</si>
  <si>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Descripcion integrantes del equipo</t>
  </si>
  <si>
    <t>Integrantes y roles</t>
  </si>
  <si>
    <t>Elaboracion del reporte de vision</t>
  </si>
  <si>
    <t xml:space="preserve">Especificacion de requisitos </t>
  </si>
  <si>
    <t>Elaboración del plan de proyecto (grantt+Presup)</t>
  </si>
  <si>
    <t>Organización del desarrollo</t>
  </si>
  <si>
    <t>Plan de versionado del software</t>
  </si>
  <si>
    <t>Creacion del repositorio en github</t>
  </si>
  <si>
    <t>Diseñado de clases (usuario y prestamo)</t>
  </si>
  <si>
    <t>Desarrollo del modelo de usuario</t>
  </si>
  <si>
    <t>Desarrollo del modelo de prestamos</t>
  </si>
  <si>
    <t>Desarrollo de reportes</t>
  </si>
  <si>
    <t>elaboracion del manual de usuario</t>
  </si>
  <si>
    <t>Pruebas finales y entrega</t>
  </si>
  <si>
    <t>Horas</t>
  </si>
  <si>
    <t>Definicion del nombre del proyecto</t>
  </si>
  <si>
    <t>Seleccionar tipo de licencia del software</t>
  </si>
  <si>
    <t>Total horas (50)</t>
  </si>
  <si>
    <t>Fecha inicio</t>
  </si>
  <si>
    <t>Fecha final</t>
  </si>
  <si>
    <t>Total horas del proyecto</t>
  </si>
  <si>
    <t>Valor proyecto</t>
  </si>
  <si>
    <t>SMLV</t>
  </si>
  <si>
    <t>Valor hora SMLV</t>
  </si>
  <si>
    <t>BorrowMind - Gestor de Préstamos</t>
  </si>
  <si>
    <t>Presupuesto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</si>
</sst>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3" borderId="1" xfId="0" applyFill="1" applyBorder="1"/>
    <xf numFmtId="14" fontId="0" fillId="4" borderId="1" xfId="0" applyNumberFormat="1" applyFill="1" applyBorder="1"/>
    <xf numFmtId="0" fontId="0" fillId="4" borderId="1" xfId="0" applyFill="1" applyBorder="1"/>
    <xf numFmtId="0" fontId="0" fillId="2" borderId="2" xfId="0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600" b="1"/>
              <a:t>Diagrama de gantt </a:t>
            </a:r>
          </a:p>
        </c:rich>
      </c:tx>
      <c:layout>
        <c:manualLayout>
          <c:xMode val="edge"/>
          <c:yMode val="edge"/>
          <c:x val="0.42820569737328901"/>
          <c:y val="1.7640567192850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28820563911198116"/>
          <c:y val="0.18375579149167978"/>
          <c:w val="0.6955161514910525"/>
          <c:h val="0.78664448700419687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Diagrama!$B$4:$B$19</c:f>
              <c:strCache>
                <c:ptCount val="16"/>
                <c:pt idx="0">
                  <c:v>Integrantes y roles</c:v>
                </c:pt>
                <c:pt idx="1">
                  <c:v>Descripcion integrantes del equipo</c:v>
                </c:pt>
                <c:pt idx="2">
                  <c:v>Definicion del nombre del proyecto</c:v>
                </c:pt>
                <c:pt idx="3">
                  <c:v>Seleccionar tipo de licencia del software</c:v>
                </c:pt>
                <c:pt idx="4">
                  <c:v>Elaboracion del reporte de vision</c:v>
                </c:pt>
                <c:pt idx="5">
                  <c:v>Especificacion de requisitos </c:v>
                </c:pt>
                <c:pt idx="6">
                  <c:v>Elaboración del plan de proyecto (grantt+Presup)</c:v>
                </c:pt>
                <c:pt idx="7">
                  <c:v>Organización del desarrollo</c:v>
                </c:pt>
                <c:pt idx="8">
                  <c:v>Plan de versionado del software</c:v>
                </c:pt>
                <c:pt idx="9">
                  <c:v>Creacion del repositorio en github</c:v>
                </c:pt>
                <c:pt idx="10">
                  <c:v>Diseñado de clases (usuario y prestamo)</c:v>
                </c:pt>
                <c:pt idx="11">
                  <c:v>Desarrollo del modelo de usuario</c:v>
                </c:pt>
                <c:pt idx="12">
                  <c:v>Desarrollo del modelo de prestamos</c:v>
                </c:pt>
                <c:pt idx="13">
                  <c:v>Desarrollo de reportes</c:v>
                </c:pt>
                <c:pt idx="14">
                  <c:v>elaboracion del manual de usuario</c:v>
                </c:pt>
                <c:pt idx="15">
                  <c:v>Pruebas finales y entrega</c:v>
                </c:pt>
              </c:strCache>
            </c:strRef>
          </c:cat>
          <c:val>
            <c:numRef>
              <c:f>Diagrama!$C$4:$C$19</c:f>
              <c:numCache>
                <c:formatCode>m/d/yyyy</c:formatCode>
                <c:ptCount val="16"/>
                <c:pt idx="0">
                  <c:v>46062</c:v>
                </c:pt>
                <c:pt idx="1">
                  <c:v>46069</c:v>
                </c:pt>
                <c:pt idx="2">
                  <c:v>46076</c:v>
                </c:pt>
                <c:pt idx="3">
                  <c:v>46083</c:v>
                </c:pt>
                <c:pt idx="4">
                  <c:v>46090</c:v>
                </c:pt>
                <c:pt idx="5">
                  <c:v>46097</c:v>
                </c:pt>
                <c:pt idx="6">
                  <c:v>46104</c:v>
                </c:pt>
                <c:pt idx="7">
                  <c:v>46118</c:v>
                </c:pt>
                <c:pt idx="8">
                  <c:v>46125</c:v>
                </c:pt>
                <c:pt idx="9">
                  <c:v>46132</c:v>
                </c:pt>
                <c:pt idx="10">
                  <c:v>46139</c:v>
                </c:pt>
                <c:pt idx="11">
                  <c:v>46146</c:v>
                </c:pt>
                <c:pt idx="12">
                  <c:v>46153</c:v>
                </c:pt>
                <c:pt idx="13">
                  <c:v>46160</c:v>
                </c:pt>
                <c:pt idx="14">
                  <c:v>46167</c:v>
                </c:pt>
                <c:pt idx="15">
                  <c:v>46174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D-4181-8E9E-DB55EC766328}"/>
            </c:ext>
          </c:extLst>
        </c:ser>
        <c:ser>
          <c:idx val="1"/>
          <c:order val="1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Diagrama!$B$4:$B$19</c:f>
              <c:strCache>
                <c:ptCount val="16"/>
                <c:pt idx="0">
                  <c:v>Integrantes y roles</c:v>
                </c:pt>
                <c:pt idx="1">
                  <c:v>Descripcion integrantes del equipo</c:v>
                </c:pt>
                <c:pt idx="2">
                  <c:v>Definicion del nombre del proyecto</c:v>
                </c:pt>
                <c:pt idx="3">
                  <c:v>Seleccionar tipo de licencia del software</c:v>
                </c:pt>
                <c:pt idx="4">
                  <c:v>Elaboracion del reporte de vision</c:v>
                </c:pt>
                <c:pt idx="5">
                  <c:v>Especificacion de requisitos </c:v>
                </c:pt>
                <c:pt idx="6">
                  <c:v>Elaboración del plan de proyecto (grantt+Presup)</c:v>
                </c:pt>
                <c:pt idx="7">
                  <c:v>Organización del desarrollo</c:v>
                </c:pt>
                <c:pt idx="8">
                  <c:v>Plan de versionado del software</c:v>
                </c:pt>
                <c:pt idx="9">
                  <c:v>Creacion del repositorio en github</c:v>
                </c:pt>
                <c:pt idx="10">
                  <c:v>Diseñado de clases (usuario y prestamo)</c:v>
                </c:pt>
                <c:pt idx="11">
                  <c:v>Desarrollo del modelo de usuario</c:v>
                </c:pt>
                <c:pt idx="12">
                  <c:v>Desarrollo del modelo de prestamos</c:v>
                </c:pt>
                <c:pt idx="13">
                  <c:v>Desarrollo de reportes</c:v>
                </c:pt>
                <c:pt idx="14">
                  <c:v>elaboracion del manual de usuario</c:v>
                </c:pt>
                <c:pt idx="15">
                  <c:v>Pruebas finales y entrega</c:v>
                </c:pt>
              </c:strCache>
            </c:strRef>
          </c:cat>
          <c:val>
            <c:numRef>
              <c:f>Diagrama!$D$4:$D$19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FD-4181-8E9E-DB55EC766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777475807"/>
        <c:axId val="777478207"/>
      </c:barChart>
      <c:catAx>
        <c:axId val="777475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7478207"/>
        <c:crosses val="autoZero"/>
        <c:auto val="1"/>
        <c:lblAlgn val="ctr"/>
        <c:lblOffset val="100"/>
        <c:noMultiLvlLbl val="0"/>
      </c:catAx>
      <c:valAx>
        <c:axId val="777478207"/>
        <c:scaling>
          <c:orientation val="minMax"/>
          <c:max val="46179"/>
          <c:min val="46062"/>
        </c:scaling>
        <c:delete val="0"/>
        <c:axPos val="t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/m/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7475807"/>
        <c:crosses val="autoZero"/>
        <c:crossBetween val="between"/>
        <c:majorUnit val="7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333376</xdr:colOff>
      <xdr:row>3</xdr:row>
      <xdr:rowOff>14286</xdr:rowOff>
    </xdr:from>
    <xdr:to>
      <xdr:col>17</xdr:col>
      <xdr:colOff>504825</xdr:colOff>
      <xdr:row>30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A8C768-649D-2134-6F59-73DB50A7B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01B2C-1756-4A3B-859A-CA6183961708}">
  <dimension ref="A2:O34"/>
  <sheetViews>
    <sheetView tabSelected="1" workbookViewId="0">
      <selection activeCell="E28" sqref="E28:F28"/>
    </sheetView>
  </sheetViews>
  <sheetFormatPr baseColWidth="10" defaultRowHeight="15" x14ac:dyDescent="0.25"/>
  <cols>
    <col min="1" max="1" width="10.5703125" customWidth="1"/>
    <col min="2" max="2" width="44.140625" customWidth="1"/>
    <col min="4" max="4" width="6.28515625" customWidth="1"/>
    <col min="10" max="10" width="30.140625" customWidth="1"/>
  </cols>
  <sheetData>
    <row r="2" spans="1:15" ht="18.75" x14ac:dyDescent="0.3">
      <c r="I2" s="7" t="s">
        <v>43</v>
      </c>
      <c r="J2" s="7"/>
      <c r="K2" s="7"/>
      <c r="L2" s="7"/>
      <c r="M2" s="7"/>
      <c r="N2" s="7"/>
      <c r="O2" s="7"/>
    </row>
    <row r="3" spans="1:15" x14ac:dyDescent="0.25">
      <c r="B3" s="2" t="s">
        <v>0</v>
      </c>
      <c r="C3" s="2" t="s">
        <v>1</v>
      </c>
      <c r="D3" s="2" t="s">
        <v>33</v>
      </c>
      <c r="E3" s="2" t="s">
        <v>2</v>
      </c>
    </row>
    <row r="4" spans="1:15" x14ac:dyDescent="0.25">
      <c r="A4" s="1" t="s">
        <v>3</v>
      </c>
      <c r="B4" s="3" t="s">
        <v>20</v>
      </c>
      <c r="C4" s="4">
        <v>46062</v>
      </c>
      <c r="D4" s="3">
        <v>1</v>
      </c>
      <c r="E4" s="4">
        <v>46066</v>
      </c>
    </row>
    <row r="5" spans="1:15" x14ac:dyDescent="0.25">
      <c r="A5" s="1" t="s">
        <v>4</v>
      </c>
      <c r="B5" s="3" t="s">
        <v>19</v>
      </c>
      <c r="C5" s="4">
        <v>46069</v>
      </c>
      <c r="D5" s="3">
        <v>2</v>
      </c>
      <c r="E5" s="4">
        <v>46074</v>
      </c>
    </row>
    <row r="6" spans="1:15" x14ac:dyDescent="0.25">
      <c r="A6" s="1" t="s">
        <v>6</v>
      </c>
      <c r="B6" s="3" t="s">
        <v>34</v>
      </c>
      <c r="C6" s="4">
        <v>46076</v>
      </c>
      <c r="D6" s="3">
        <v>2</v>
      </c>
      <c r="E6" s="4">
        <v>46080</v>
      </c>
    </row>
    <row r="7" spans="1:15" x14ac:dyDescent="0.25">
      <c r="A7" s="1" t="s">
        <v>7</v>
      </c>
      <c r="B7" s="3" t="s">
        <v>35</v>
      </c>
      <c r="C7" s="4">
        <v>46083</v>
      </c>
      <c r="D7" s="3">
        <v>1</v>
      </c>
      <c r="E7" s="4">
        <v>46087</v>
      </c>
    </row>
    <row r="8" spans="1:15" x14ac:dyDescent="0.25">
      <c r="A8" s="1" t="s">
        <v>8</v>
      </c>
      <c r="B8" s="3" t="s">
        <v>21</v>
      </c>
      <c r="C8" s="4">
        <v>46090</v>
      </c>
      <c r="D8" s="3">
        <v>4</v>
      </c>
      <c r="E8" s="4">
        <v>46094</v>
      </c>
    </row>
    <row r="9" spans="1:15" x14ac:dyDescent="0.25">
      <c r="A9" s="1" t="s">
        <v>5</v>
      </c>
      <c r="B9" s="3" t="s">
        <v>22</v>
      </c>
      <c r="C9" s="4">
        <v>46097</v>
      </c>
      <c r="D9" s="3">
        <v>3</v>
      </c>
      <c r="E9" s="4">
        <v>46101</v>
      </c>
    </row>
    <row r="10" spans="1:15" x14ac:dyDescent="0.25">
      <c r="A10" s="1" t="s">
        <v>9</v>
      </c>
      <c r="B10" s="3" t="s">
        <v>23</v>
      </c>
      <c r="C10" s="4">
        <v>46104</v>
      </c>
      <c r="D10" s="3">
        <v>3</v>
      </c>
      <c r="E10" s="4">
        <v>46108</v>
      </c>
    </row>
    <row r="11" spans="1:15" x14ac:dyDescent="0.25">
      <c r="A11" s="1" t="s">
        <v>10</v>
      </c>
      <c r="B11" s="3" t="s">
        <v>24</v>
      </c>
      <c r="C11" s="4">
        <v>46118</v>
      </c>
      <c r="D11" s="3"/>
      <c r="E11" s="4">
        <v>46122</v>
      </c>
    </row>
    <row r="12" spans="1:15" x14ac:dyDescent="0.25">
      <c r="A12" s="1" t="s">
        <v>11</v>
      </c>
      <c r="B12" s="3" t="s">
        <v>25</v>
      </c>
      <c r="C12" s="4">
        <v>46125</v>
      </c>
      <c r="D12" s="3"/>
      <c r="E12" s="4">
        <v>46129</v>
      </c>
    </row>
    <row r="13" spans="1:15" x14ac:dyDescent="0.25">
      <c r="A13" s="1" t="s">
        <v>12</v>
      </c>
      <c r="B13" s="3" t="s">
        <v>26</v>
      </c>
      <c r="C13" s="4">
        <v>46132</v>
      </c>
      <c r="D13" s="3"/>
      <c r="E13" s="4">
        <v>46136</v>
      </c>
    </row>
    <row r="14" spans="1:15" x14ac:dyDescent="0.25">
      <c r="A14" s="1" t="s">
        <v>13</v>
      </c>
      <c r="B14" s="3" t="s">
        <v>27</v>
      </c>
      <c r="C14" s="4">
        <v>46139</v>
      </c>
      <c r="D14" s="3"/>
      <c r="E14" s="4">
        <v>46143</v>
      </c>
    </row>
    <row r="15" spans="1:15" x14ac:dyDescent="0.25">
      <c r="A15" s="1" t="s">
        <v>14</v>
      </c>
      <c r="B15" s="3" t="s">
        <v>28</v>
      </c>
      <c r="C15" s="4">
        <v>46146</v>
      </c>
      <c r="D15" s="3"/>
      <c r="E15" s="4">
        <v>46150</v>
      </c>
    </row>
    <row r="16" spans="1:15" x14ac:dyDescent="0.25">
      <c r="A16" s="1" t="s">
        <v>15</v>
      </c>
      <c r="B16" s="3" t="s">
        <v>29</v>
      </c>
      <c r="C16" s="4">
        <v>46153</v>
      </c>
      <c r="D16" s="3"/>
      <c r="E16" s="4">
        <v>46157</v>
      </c>
    </row>
    <row r="17" spans="1:11" x14ac:dyDescent="0.25">
      <c r="A17" s="1" t="s">
        <v>16</v>
      </c>
      <c r="B17" s="3" t="s">
        <v>30</v>
      </c>
      <c r="C17" s="4">
        <v>46160</v>
      </c>
      <c r="D17" s="3"/>
      <c r="E17" s="4">
        <v>46164</v>
      </c>
    </row>
    <row r="18" spans="1:11" x14ac:dyDescent="0.25">
      <c r="A18" s="1" t="s">
        <v>17</v>
      </c>
      <c r="B18" s="3" t="s">
        <v>31</v>
      </c>
      <c r="C18" s="4">
        <v>46167</v>
      </c>
      <c r="D18" s="3"/>
      <c r="E18" s="4">
        <v>46171</v>
      </c>
    </row>
    <row r="19" spans="1:11" x14ac:dyDescent="0.25">
      <c r="A19" s="1" t="s">
        <v>18</v>
      </c>
      <c r="B19" s="3" t="s">
        <v>32</v>
      </c>
      <c r="C19" s="4">
        <v>46174</v>
      </c>
      <c r="D19" s="3"/>
      <c r="E19" s="4">
        <v>46179</v>
      </c>
    </row>
    <row r="22" spans="1:11" x14ac:dyDescent="0.25">
      <c r="B22" s="6" t="s">
        <v>44</v>
      </c>
      <c r="C22" s="6"/>
    </row>
    <row r="23" spans="1:11" x14ac:dyDescent="0.25">
      <c r="B23" s="3" t="s">
        <v>41</v>
      </c>
      <c r="C23" s="5">
        <v>1750905</v>
      </c>
    </row>
    <row r="24" spans="1:11" x14ac:dyDescent="0.25">
      <c r="B24" s="3" t="s">
        <v>39</v>
      </c>
      <c r="C24" s="5">
        <v>50</v>
      </c>
    </row>
    <row r="25" spans="1:11" x14ac:dyDescent="0.25">
      <c r="B25" s="3" t="s">
        <v>42</v>
      </c>
      <c r="C25" s="5">
        <v>7295</v>
      </c>
    </row>
    <row r="26" spans="1:11" x14ac:dyDescent="0.25">
      <c r="B26" s="1" t="s">
        <v>40</v>
      </c>
      <c r="C26" s="5">
        <f>C24*C25</f>
        <v>364750</v>
      </c>
    </row>
    <row r="32" spans="1:11" x14ac:dyDescent="0.25">
      <c r="J32" s="1" t="s">
        <v>36</v>
      </c>
      <c r="K32" s="5">
        <f>SUM(D4:D19)</f>
        <v>16</v>
      </c>
    </row>
    <row r="33" spans="10:11" x14ac:dyDescent="0.25">
      <c r="J33" s="1" t="s">
        <v>37</v>
      </c>
      <c r="K33" s="4">
        <f>MIN(C4:C19)</f>
        <v>46062</v>
      </c>
    </row>
    <row r="34" spans="10:11" x14ac:dyDescent="0.25">
      <c r="J34" s="1" t="s">
        <v>38</v>
      </c>
      <c r="K34" s="4">
        <f>MAX(E4:E19)</f>
        <v>46179</v>
      </c>
    </row>
  </sheetData>
  <mergeCells count="2">
    <mergeCell ref="B22:C22"/>
    <mergeCell ref="I2:O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Munera Gallego</dc:creator>
  <cp:lastModifiedBy>Mateo Munera Gallego</cp:lastModifiedBy>
  <dcterms:created xsi:type="dcterms:W3CDTF">2026-03-27T14:20:11Z</dcterms:created>
  <dcterms:modified xsi:type="dcterms:W3CDTF">2026-03-27T16:48:21Z</dcterms:modified>
</cp:coreProperties>
</file>